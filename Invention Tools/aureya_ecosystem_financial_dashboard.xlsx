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hortcut" sheetId="2" state="visible" r:id="rId2"/>
    <sheet xmlns:r="http://schemas.openxmlformats.org/officeDocument/2006/relationships" name="LevelUpMax" sheetId="3" state="visible" r:id="rId3"/>
    <sheet xmlns:r="http://schemas.openxmlformats.org/officeDocument/2006/relationships" name="Frankmax" sheetId="4" state="visible" r:id="rId4"/>
    <sheet xmlns:r="http://schemas.openxmlformats.org/officeDocument/2006/relationships" name="Aureya_Bridge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Learners per Year</t>
        </is>
      </c>
      <c r="B2" t="n">
        <v>1000</v>
      </c>
      <c r="C2" t="inlineStr">
        <is>
          <t>Number of Shortcut learners</t>
        </is>
      </c>
    </row>
    <row r="3">
      <c r="A3" t="inlineStr">
        <is>
          <t>Shortcut Ticket (INR)</t>
        </is>
      </c>
      <c r="B3" t="n">
        <v>200000</v>
      </c>
      <c r="C3" t="inlineStr">
        <is>
          <t>Avg certification fee</t>
        </is>
      </c>
    </row>
    <row r="4">
      <c r="A4" t="inlineStr">
        <is>
          <t>Shortcut Margin %</t>
        </is>
      </c>
      <c r="B4" t="n">
        <v>0.4</v>
      </c>
      <c r="C4" t="inlineStr">
        <is>
          <t>Gross margin</t>
        </is>
      </c>
    </row>
    <row r="5">
      <c r="A5" t="inlineStr">
        <is>
          <t>LevelUpMax Ticket (INR)</t>
        </is>
      </c>
      <c r="B5" t="n">
        <v>400000</v>
      </c>
      <c r="C5" t="inlineStr">
        <is>
          <t>Outcome assurance fee</t>
        </is>
      </c>
    </row>
    <row r="6">
      <c r="A6" t="inlineStr">
        <is>
          <t>LevelUpMax Margin %</t>
        </is>
      </c>
      <c r="B6" t="n">
        <v>0.4</v>
      </c>
      <c r="C6" t="inlineStr">
        <is>
          <t>Gross margin</t>
        </is>
      </c>
    </row>
    <row r="7">
      <c r="A7" t="inlineStr">
        <is>
          <t>Frankmax GCC Value per Employee (INR)</t>
        </is>
      </c>
      <c r="B7" t="n">
        <v>1000000</v>
      </c>
      <c r="C7" t="inlineStr">
        <is>
          <t>Avg enterprise value generated</t>
        </is>
      </c>
    </row>
    <row r="8">
      <c r="A8" t="inlineStr">
        <is>
          <t>Frankmax Margin %</t>
        </is>
      </c>
      <c r="B8" t="n">
        <v>0.3</v>
      </c>
      <c r="C8" t="inlineStr">
        <is>
          <t>Consulting margin</t>
        </is>
      </c>
    </row>
    <row r="9">
      <c r="A9" t="inlineStr">
        <is>
          <t>Aureya Royalty per Learner (INR)</t>
        </is>
      </c>
      <c r="B9" t="n">
        <v>50000</v>
      </c>
      <c r="C9" t="inlineStr">
        <is>
          <t>IP/Data royalty estimate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 / Value</t>
        </is>
      </c>
    </row>
    <row r="2">
      <c r="A2" t="inlineStr">
        <is>
          <t>Learners</t>
        </is>
      </c>
      <c r="B2">
        <f>Inputs!B2</f>
        <v/>
      </c>
    </row>
    <row r="3">
      <c r="A3" t="inlineStr">
        <is>
          <t>Ticket Price</t>
        </is>
      </c>
      <c r="B3">
        <f>Inputs!B3</f>
        <v/>
      </c>
    </row>
    <row r="4">
      <c r="A4" t="inlineStr">
        <is>
          <t>Revenue</t>
        </is>
      </c>
      <c r="B4">
        <f>B2*B3</f>
        <v/>
      </c>
    </row>
    <row r="5">
      <c r="A5" t="inlineStr">
        <is>
          <t>Margin %</t>
        </is>
      </c>
      <c r="B5">
        <f>Inputs!B4</f>
        <v/>
      </c>
    </row>
    <row r="6">
      <c r="A6" t="inlineStr">
        <is>
          <t>Profit</t>
        </is>
      </c>
      <c r="B6">
        <f>B4*B5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 / Value</t>
        </is>
      </c>
    </row>
    <row r="2">
      <c r="A2" t="inlineStr">
        <is>
          <t>Learners</t>
        </is>
      </c>
      <c r="B2">
        <f>Inputs!B2</f>
        <v/>
      </c>
    </row>
    <row r="3">
      <c r="A3" t="inlineStr">
        <is>
          <t>Ticket Price</t>
        </is>
      </c>
      <c r="B3">
        <f>Inputs!B5</f>
        <v/>
      </c>
    </row>
    <row r="4">
      <c r="A4" t="inlineStr">
        <is>
          <t>Revenue</t>
        </is>
      </c>
      <c r="B4">
        <f>B2*B3</f>
        <v/>
      </c>
    </row>
    <row r="5">
      <c r="A5" t="inlineStr">
        <is>
          <t>Margin %</t>
        </is>
      </c>
      <c r="B5">
        <f>Inputs!B6</f>
        <v/>
      </c>
    </row>
    <row r="6">
      <c r="A6" t="inlineStr">
        <is>
          <t>Profit</t>
        </is>
      </c>
      <c r="B6">
        <f>B4*B5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 / Value</t>
        </is>
      </c>
    </row>
    <row r="2">
      <c r="A2" t="inlineStr">
        <is>
          <t>Learners deployed</t>
        </is>
      </c>
      <c r="B2">
        <f>Inputs!B2</f>
        <v/>
      </c>
    </row>
    <row r="3">
      <c r="A3" t="inlineStr">
        <is>
          <t>Enterprise Value per Employee</t>
        </is>
      </c>
      <c r="B3">
        <f>Inputs!B7</f>
        <v/>
      </c>
    </row>
    <row r="4">
      <c r="A4" t="inlineStr">
        <is>
          <t>Revenue</t>
        </is>
      </c>
      <c r="B4">
        <f>B2*B3</f>
        <v/>
      </c>
    </row>
    <row r="5">
      <c r="A5" t="inlineStr">
        <is>
          <t>Margin %</t>
        </is>
      </c>
      <c r="B5">
        <f>Inputs!B8</f>
        <v/>
      </c>
    </row>
    <row r="6">
      <c r="A6" t="inlineStr">
        <is>
          <t>Profit</t>
        </is>
      </c>
      <c r="B6">
        <f>B4*B5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 / Value</t>
        </is>
      </c>
    </row>
    <row r="2">
      <c r="A2" t="inlineStr">
        <is>
          <t>Shortcut Revenue</t>
        </is>
      </c>
      <c r="B2">
        <f>Shortcut!B4</f>
        <v/>
      </c>
    </row>
    <row r="3">
      <c r="A3" t="inlineStr">
        <is>
          <t>LevelUpMax Revenue</t>
        </is>
      </c>
      <c r="B3">
        <f>LevelUpMax!B4</f>
        <v/>
      </c>
    </row>
    <row r="4">
      <c r="A4" t="inlineStr">
        <is>
          <t>Frankmax Revenue</t>
        </is>
      </c>
      <c r="B4">
        <f>Frankmax!B4</f>
        <v/>
      </c>
    </row>
    <row r="5">
      <c r="A5" t="inlineStr">
        <is>
          <t>Aureya Royalty</t>
        </is>
      </c>
      <c r="B5">
        <f>Inputs!B2*Inputs!B9</f>
        <v/>
      </c>
    </row>
    <row r="6">
      <c r="A6" t="inlineStr">
        <is>
          <t>Total Ecosystem Revenue</t>
        </is>
      </c>
      <c r="B6">
        <f>SUM(B2:B5)</f>
        <v/>
      </c>
    </row>
    <row r="7">
      <c r="A7" t="inlineStr">
        <is>
          <t>Shortcut Profit</t>
        </is>
      </c>
      <c r="B7">
        <f>Shortcut!B6</f>
        <v/>
      </c>
    </row>
    <row r="8">
      <c r="A8" t="inlineStr">
        <is>
          <t>LevelUpMax Profit</t>
        </is>
      </c>
      <c r="B8">
        <f>LevelUpMax!B6</f>
        <v/>
      </c>
    </row>
    <row r="9">
      <c r="A9" t="inlineStr">
        <is>
          <t>Frankmax Profit</t>
        </is>
      </c>
      <c r="B9">
        <f>Frankmax!B6</f>
        <v/>
      </c>
    </row>
    <row r="10">
      <c r="A10" t="inlineStr">
        <is>
          <t>Total Ecosystem Profit</t>
        </is>
      </c>
      <c r="B10">
        <f>SUM(B7:B9)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AUREYA ECOSYSTEM DASHBOARD</t>
        </is>
      </c>
      <c r="B1" t="inlineStr"/>
    </row>
    <row r="2">
      <c r="A2" t="inlineStr">
        <is>
          <t>Total Learners</t>
        </is>
      </c>
      <c r="B2">
        <f>Inputs!B2</f>
        <v/>
      </c>
    </row>
    <row r="3">
      <c r="A3" t="inlineStr">
        <is>
          <t>Total Ecosystem Revenue</t>
        </is>
      </c>
      <c r="B3">
        <f>Aureya_Bridge!B6</f>
        <v/>
      </c>
    </row>
    <row r="4">
      <c r="A4" t="inlineStr">
        <is>
          <t>Total Ecosystem Profit</t>
        </is>
      </c>
      <c r="B4">
        <f>Aureya_Bridge!B10</f>
        <v/>
      </c>
    </row>
    <row r="5">
      <c r="A5" t="inlineStr">
        <is>
          <t>Shortcut Revenue</t>
        </is>
      </c>
      <c r="B5">
        <f>Shortcut!B4</f>
        <v/>
      </c>
    </row>
    <row r="6">
      <c r="A6" t="inlineStr">
        <is>
          <t>LevelUpMax Revenue</t>
        </is>
      </c>
      <c r="B6">
        <f>LevelUpMax!B4</f>
        <v/>
      </c>
    </row>
    <row r="7">
      <c r="A7" t="inlineStr">
        <is>
          <t>Frankmax Revenue</t>
        </is>
      </c>
      <c r="B7">
        <f>Frankmax!B4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2026-03-05T15:49:21Z</dcterms:created>
  <dcterms:modified xmlns:dcterms="http://purl.org/dc/terms/" xmlns:xsi="http://www.w3.org/2001/XMLSchema-instance" xsi:type="dcterms:W3CDTF">2026-03-05T15:49:21Z</dcterms:modified>
</cp:coreProperties>
</file>